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ким Тарасов\Desktop\физтех\физос\"/>
    </mc:Choice>
  </mc:AlternateContent>
  <xr:revisionPtr revIDLastSave="0" documentId="13_ncr:1_{509734A8-258F-4710-98A4-FB650564707C}" xr6:coauthVersionLast="47" xr6:coauthVersionMax="47" xr10:uidLastSave="{00000000-0000-0000-0000-000000000000}"/>
  <bookViews>
    <workbookView xWindow="-108" yWindow="-108" windowWidth="23256" windowHeight="12576" activeTab="1" xr2:uid="{94EECEE6-4E2B-4012-B61D-24181E77C9EC}"/>
  </bookViews>
  <sheets>
    <sheet name="Вычисления" sheetId="1" r:id="rId1"/>
    <sheet name="МНК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3" i="1" l="1"/>
  <c r="F10" i="1"/>
  <c r="A66" i="1"/>
  <c r="A65" i="1"/>
  <c r="A64" i="1"/>
  <c r="A61" i="1"/>
  <c r="A60" i="1"/>
  <c r="A59" i="1"/>
  <c r="A56" i="1"/>
  <c r="A55" i="1"/>
  <c r="A54" i="1"/>
  <c r="A51" i="1"/>
  <c r="A50" i="1"/>
  <c r="A49" i="1"/>
  <c r="A46" i="1"/>
  <c r="A45" i="1"/>
  <c r="A44" i="1"/>
  <c r="A41" i="1"/>
  <c r="A40" i="1"/>
  <c r="A39" i="1"/>
  <c r="A36" i="1"/>
  <c r="A35" i="1"/>
  <c r="A34" i="1"/>
  <c r="A30" i="1"/>
  <c r="A31" i="1"/>
  <c r="A29" i="1"/>
  <c r="A23" i="1"/>
  <c r="A24" i="1"/>
  <c r="A22" i="1"/>
  <c r="A18" i="1"/>
  <c r="A19" i="1"/>
  <c r="A17" i="1"/>
  <c r="D7" i="1"/>
  <c r="G2" i="1"/>
  <c r="A13" i="1"/>
  <c r="A14" i="1"/>
  <c r="A12" i="1"/>
  <c r="A8" i="1"/>
  <c r="A9" i="1"/>
  <c r="A7" i="1"/>
  <c r="H62" i="1"/>
  <c r="H61" i="1"/>
  <c r="H60" i="1"/>
  <c r="H63" i="1"/>
  <c r="I61" i="1"/>
  <c r="L56" i="1"/>
  <c r="L55" i="1"/>
  <c r="L54" i="1"/>
  <c r="I54" i="1"/>
  <c r="I55" i="1"/>
  <c r="I56" i="1"/>
  <c r="I57" i="1"/>
  <c r="I58" i="1"/>
  <c r="I59" i="1"/>
  <c r="I60" i="1"/>
  <c r="L57" i="1"/>
  <c r="L58" i="1"/>
  <c r="L59" i="1"/>
  <c r="L60" i="1"/>
  <c r="B3" i="3"/>
  <c r="B4" i="3"/>
  <c r="B5" i="3"/>
  <c r="B6" i="3"/>
  <c r="B7" i="3"/>
  <c r="B8" i="3"/>
  <c r="B9" i="3"/>
  <c r="B2" i="3"/>
  <c r="C66" i="1"/>
  <c r="C65" i="1"/>
  <c r="C64" i="1"/>
  <c r="C61" i="1"/>
  <c r="C60" i="1"/>
  <c r="C59" i="1"/>
  <c r="C56" i="1"/>
  <c r="C55" i="1"/>
  <c r="C54" i="1"/>
  <c r="C51" i="1"/>
  <c r="C50" i="1"/>
  <c r="C49" i="1"/>
  <c r="C46" i="1"/>
  <c r="C45" i="1"/>
  <c r="C44" i="1"/>
  <c r="C39" i="1"/>
  <c r="C40" i="1"/>
  <c r="C41" i="1"/>
  <c r="C36" i="1"/>
  <c r="C35" i="1"/>
  <c r="C34" i="1"/>
  <c r="C29" i="1"/>
  <c r="C30" i="1"/>
  <c r="C31" i="1"/>
  <c r="C24" i="1"/>
  <c r="C23" i="1"/>
  <c r="C22" i="1"/>
  <c r="C19" i="1"/>
  <c r="C18" i="1"/>
  <c r="C17" i="1"/>
  <c r="C12" i="1"/>
  <c r="C13" i="1"/>
  <c r="C14" i="1"/>
  <c r="C4" i="1"/>
  <c r="C5" i="1"/>
  <c r="C7" i="1"/>
  <c r="C8" i="1"/>
  <c r="C9" i="1"/>
  <c r="C3" i="1"/>
  <c r="A4" i="1"/>
  <c r="A5" i="1"/>
  <c r="A3" i="1"/>
  <c r="D29" i="1" l="1"/>
  <c r="L61" i="1"/>
  <c r="H59" i="1" s="1"/>
  <c r="D54" i="1"/>
  <c r="D30" i="1"/>
  <c r="D46" i="1"/>
  <c r="D59" i="1"/>
  <c r="D56" i="1"/>
  <c r="D45" i="1"/>
  <c r="D34" i="1"/>
  <c r="D49" i="1"/>
  <c r="D61" i="1"/>
  <c r="D60" i="1"/>
  <c r="D22" i="1"/>
  <c r="D66" i="1"/>
  <c r="D55" i="1"/>
  <c r="D31" i="1"/>
  <c r="D18" i="1"/>
  <c r="D35" i="1"/>
  <c r="D50" i="1"/>
  <c r="D64" i="1"/>
  <c r="D65" i="1"/>
  <c r="D44" i="1"/>
  <c r="D51" i="1"/>
  <c r="D23" i="1"/>
  <c r="D41" i="1"/>
  <c r="D24" i="1"/>
  <c r="D9" i="1"/>
  <c r="D8" i="1"/>
  <c r="D36" i="1"/>
  <c r="D12" i="1"/>
  <c r="D40" i="1"/>
  <c r="D17" i="1"/>
  <c r="D19" i="1"/>
  <c r="D39" i="1"/>
  <c r="D13" i="1"/>
  <c r="D14" i="1"/>
  <c r="D5" i="1"/>
  <c r="D4" i="1"/>
  <c r="D3" i="1"/>
  <c r="E54" i="1" l="1"/>
  <c r="F54" i="1" s="1"/>
  <c r="E64" i="1"/>
  <c r="F64" i="1" s="1"/>
  <c r="E49" i="1"/>
  <c r="F49" i="1" s="1"/>
  <c r="E44" i="1"/>
  <c r="F44" i="1" s="1"/>
  <c r="E29" i="1"/>
  <c r="F29" i="1" s="1"/>
  <c r="E22" i="1"/>
  <c r="F22" i="1" s="1"/>
  <c r="E17" i="1"/>
  <c r="F17" i="1" s="1"/>
  <c r="E59" i="1"/>
  <c r="E39" i="1"/>
  <c r="F39" i="1" s="1"/>
  <c r="E7" i="1"/>
  <c r="F7" i="1" s="1"/>
  <c r="E34" i="1"/>
  <c r="E3" i="1"/>
  <c r="E12" i="1"/>
  <c r="F12" i="1" s="1"/>
  <c r="E32" i="1" l="1"/>
  <c r="E52" i="1"/>
  <c r="E47" i="1"/>
  <c r="E42" i="1"/>
  <c r="E62" i="1"/>
  <c r="F59" i="1"/>
  <c r="E67" i="1"/>
  <c r="E57" i="1"/>
  <c r="E37" i="1"/>
  <c r="F34" i="1"/>
  <c r="E25" i="1"/>
  <c r="E10" i="1"/>
  <c r="F3" i="1"/>
  <c r="E20" i="1"/>
  <c r="E15" i="1"/>
</calcChain>
</file>

<file path=xl/sharedStrings.xml><?xml version="1.0" encoding="utf-8"?>
<sst xmlns="http://schemas.openxmlformats.org/spreadsheetml/2006/main" count="39" uniqueCount="32">
  <si>
    <t>пустая платформа</t>
  </si>
  <si>
    <t>K</t>
  </si>
  <si>
    <t>цилиндр с платформой</t>
  </si>
  <si>
    <t xml:space="preserve">цилиндр   </t>
  </si>
  <si>
    <t>диск с платформой</t>
  </si>
  <si>
    <t xml:space="preserve">диск </t>
  </si>
  <si>
    <t>кольцо с платформой</t>
  </si>
  <si>
    <t xml:space="preserve">кольцо  </t>
  </si>
  <si>
    <t>кольцо и диск с платформой</t>
  </si>
  <si>
    <t xml:space="preserve">кольцо и диск   </t>
  </si>
  <si>
    <t>M, кг</t>
  </si>
  <si>
    <t>t, с</t>
  </si>
  <si>
    <t>Т, с</t>
  </si>
  <si>
    <t>I, кг * м^2</t>
  </si>
  <si>
    <t>I ср, кг * м^2</t>
  </si>
  <si>
    <t>cр квадр откл, кг * м^2</t>
  </si>
  <si>
    <t>h=1</t>
  </si>
  <si>
    <t>h=0</t>
  </si>
  <si>
    <t>разрезанный диск с платформой</t>
  </si>
  <si>
    <t xml:space="preserve">разрезанный диск  </t>
  </si>
  <si>
    <t>h=2</t>
  </si>
  <si>
    <t>h=3</t>
  </si>
  <si>
    <t>h=4</t>
  </si>
  <si>
    <t>h=5</t>
  </si>
  <si>
    <t>h=6</t>
  </si>
  <si>
    <t>h=7</t>
  </si>
  <si>
    <t>h^2, см^2</t>
  </si>
  <si>
    <t>h, см</t>
  </si>
  <si>
    <t>I, кг*см^2</t>
  </si>
  <si>
    <t>I</t>
  </si>
  <si>
    <t>h^2</t>
  </si>
  <si>
    <t>I*h^2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</si>
</sst>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164" fontId="0" fillId="0" borderId="0" xfId="0" applyNumberFormat="1"/>
    <xf numFmtId="11" fontId="0" fillId="0" borderId="0" xfId="0" applyNumberFormat="1"/>
    <xf numFmtId="43" fontId="0" fillId="0" borderId="0" xfId="1" applyFont="1"/>
    <xf numFmtId="0" fontId="2" fillId="0" borderId="0" xfId="0" applyFont="1"/>
    <xf numFmtId="2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2" fontId="0" fillId="4" borderId="0" xfId="0" applyNumberFormat="1" applyFill="1"/>
    <xf numFmtId="0" fontId="0" fillId="4" borderId="0" xfId="0" applyFill="1"/>
    <xf numFmtId="2" fontId="0" fillId="0" borderId="0" xfId="0" applyNumberFormat="1" applyAlignment="1">
      <alignment horizontal="left" vertical="center" indent="4"/>
    </xf>
    <xf numFmtId="0" fontId="3" fillId="0" borderId="0" xfId="0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200">
                <a:latin typeface="Times New Roman" panose="02020603050405020304" pitchFamily="18" charset="0"/>
                <a:cs typeface="Times New Roman" panose="02020603050405020304" pitchFamily="18" charset="0"/>
              </a:rPr>
              <a:t>Зависимость</a:t>
            </a:r>
            <a:r>
              <a:rPr lang="ru-RU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I(h</a:t>
            </a:r>
            <a:r>
              <a:rPr lang="en-US" sz="1200" b="0" i="0" baseline="0">
                <a:solidFill>
                  <a:schemeClr val="dk1"/>
                </a:solidFill>
                <a:effectLst/>
              </a:rPr>
              <a:t>²)</a:t>
            </a:r>
            <a:endParaRPr lang="ru-RU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ru-RU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endParaRPr lang="ru-RU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40512485380116958"/>
          <c:y val="1.2828301403511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0200292397660813E-2"/>
          <c:y val="6.3075000000000006E-2"/>
          <c:w val="0.86110175438596492"/>
          <c:h val="0.85982859477124185"/>
        </c:manualLayout>
      </c:layout>
      <c:scatterChart>
        <c:scatterStyle val="lineMarker"/>
        <c:varyColors val="0"/>
        <c:ser>
          <c:idx val="0"/>
          <c:order val="0"/>
          <c:tx>
            <c:strRef>
              <c:f>МНК!$C$1</c:f>
              <c:strCache>
                <c:ptCount val="1"/>
                <c:pt idx="0">
                  <c:v>I, кг*см^2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3"/>
            <c:spPr>
              <a:solidFill>
                <a:schemeClr val="tx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 cmpd="sng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fixedVal"/>
            <c:noEndCap val="0"/>
            <c:val val="7.0000000000000019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1"/>
            <c:val val="7.0000000000000019E-3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МНК!$B$2:$B$9</c:f>
              <c:numCache>
                <c:formatCode>0.00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  <c:pt idx="5">
                  <c:v>25</c:v>
                </c:pt>
                <c:pt idx="6">
                  <c:v>36</c:v>
                </c:pt>
                <c:pt idx="7">
                  <c:v>49</c:v>
                </c:pt>
              </c:numCache>
            </c:numRef>
          </c:xVal>
          <c:yVal>
            <c:numRef>
              <c:f>МНК!$C$2:$C$9</c:f>
              <c:numCache>
                <c:formatCode>General</c:formatCode>
                <c:ptCount val="8"/>
                <c:pt idx="0">
                  <c:v>12.5</c:v>
                </c:pt>
                <c:pt idx="1">
                  <c:v>14.2</c:v>
                </c:pt>
                <c:pt idx="2">
                  <c:v>18.899999999999999</c:v>
                </c:pt>
                <c:pt idx="3">
                  <c:v>26.1</c:v>
                </c:pt>
                <c:pt idx="4">
                  <c:v>36.700000000000003</c:v>
                </c:pt>
                <c:pt idx="5">
                  <c:v>49.2</c:v>
                </c:pt>
                <c:pt idx="6">
                  <c:v>65.599999999999994</c:v>
                </c:pt>
                <c:pt idx="7">
                  <c:v>85.4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4C-479B-96AC-1E96C4CC9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202608"/>
        <c:axId val="298204528"/>
      </c:scatterChart>
      <c:valAx>
        <c:axId val="298202608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</a:t>
                </a: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²</a:t>
                </a:r>
                <a:r>
                  <a:rPr lang="ru-R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 см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²</a:t>
                </a:r>
                <a:endParaRPr lang="ru-RU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7921505847953211"/>
              <c:y val="0.952975647079685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ru-RU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298204528"/>
        <c:crosses val="autoZero"/>
        <c:crossBetween val="midCat"/>
        <c:majorUnit val="5"/>
      </c:valAx>
      <c:valAx>
        <c:axId val="298204528"/>
        <c:scaling>
          <c:orientation val="minMax"/>
          <c:max val="9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I,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ru-RU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кг • см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²</a:t>
                </a:r>
                <a:endParaRPr lang="ru-RU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2650292397660818E-2"/>
              <c:y val="0.444520751633986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298202608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459852</xdr:colOff>
      <xdr:row>3</xdr:row>
      <xdr:rowOff>2095</xdr:rowOff>
    </xdr:from>
    <xdr:to>
      <xdr:col>14</xdr:col>
      <xdr:colOff>193374</xdr:colOff>
      <xdr:row>36</xdr:row>
      <xdr:rowOff>108921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6E8FC47-B740-4828-8C2A-094144CCD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399393</xdr:colOff>
      <xdr:row>5</xdr:row>
      <xdr:rowOff>42042</xdr:rowOff>
    </xdr:from>
    <xdr:to>
      <xdr:col>8</xdr:col>
      <xdr:colOff>141889</xdr:colOff>
      <xdr:row>9</xdr:row>
      <xdr:rowOff>80682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7ABB62-A022-4736-AF27-AA2071D74217}"/>
            </a:ext>
          </a:extLst>
        </xdr:cNvPr>
        <xdr:cNvSpPr txBox="1"/>
      </xdr:nvSpPr>
      <xdr:spPr>
        <a:xfrm>
          <a:off x="3011214" y="961697"/>
          <a:ext cx="2180896" cy="7743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700"/>
            </a:lnSpc>
          </a:pPr>
          <a:r>
            <a:rPr lang="ru-RU" sz="1200"/>
            <a:t>▪ </a:t>
          </a:r>
          <a:r>
            <a:rPr lang="ru-RU" sz="900">
              <a:latin typeface="Times New Roman" panose="02020603050405020304" pitchFamily="18" charset="0"/>
              <a:cs typeface="Times New Roman" panose="02020603050405020304" pitchFamily="18" charset="0"/>
            </a:rPr>
            <a:t>Измерения</a:t>
          </a:r>
          <a:endParaRPr lang="en-US" sz="9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lnSpc>
              <a:spcPts val="900"/>
            </a:lnSpc>
          </a:pPr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─ </a:t>
          </a:r>
          <a:r>
            <a:rPr lang="ru-RU" sz="900">
              <a:latin typeface="Times New Roman" panose="02020603050405020304" pitchFamily="18" charset="0"/>
              <a:cs typeface="Times New Roman" panose="02020603050405020304" pitchFamily="18" charset="0"/>
            </a:rPr>
            <a:t>Линейна</a:t>
          </a:r>
          <a:r>
            <a:rPr lang="ru-RU" sz="900" baseline="0">
              <a:latin typeface="Times New Roman" panose="02020603050405020304" pitchFamily="18" charset="0"/>
              <a:cs typeface="Times New Roman" panose="02020603050405020304" pitchFamily="18" charset="0"/>
            </a:rPr>
            <a:t>я</a:t>
          </a:r>
          <a:r>
            <a:rPr lang="ru-RU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900" baseline="0">
              <a:latin typeface="Times New Roman" panose="02020603050405020304" pitchFamily="18" charset="0"/>
              <a:cs typeface="Times New Roman" panose="02020603050405020304" pitchFamily="18" charset="0"/>
            </a:rPr>
            <a:t>аппроксимация </a:t>
          </a:r>
          <a:r>
            <a:rPr lang="en-US" sz="900" baseline="0">
              <a:latin typeface="Times New Roman" panose="02020603050405020304" pitchFamily="18" charset="0"/>
              <a:cs typeface="Times New Roman" panose="02020603050405020304" pitchFamily="18" charset="0"/>
            </a:rPr>
            <a:t>y = kx + b</a:t>
          </a:r>
        </a:p>
        <a:p>
          <a:pPr>
            <a:lnSpc>
              <a:spcPts val="900"/>
            </a:lnSpc>
          </a:pPr>
          <a:r>
            <a:rPr lang="en-US" sz="900">
              <a:latin typeface="Times New Roman" panose="02020603050405020304" pitchFamily="18" charset="0"/>
              <a:cs typeface="Times New Roman" panose="02020603050405020304" pitchFamily="18" charset="0"/>
            </a:rPr>
            <a:t>k = </a:t>
          </a:r>
          <a:r>
            <a:rPr lang="ru-RU" sz="900">
              <a:latin typeface="Times New Roman" panose="02020603050405020304" pitchFamily="18" charset="0"/>
              <a:cs typeface="Times New Roman" panose="02020603050405020304" pitchFamily="18" charset="0"/>
            </a:rPr>
            <a:t>1,477</a:t>
          </a:r>
          <a:r>
            <a:rPr lang="ru-RU" sz="900" baseline="0">
              <a:latin typeface="Times New Roman" panose="02020603050405020304" pitchFamily="18" charset="0"/>
              <a:cs typeface="Times New Roman" panose="02020603050405020304" pitchFamily="18" charset="0"/>
            </a:rPr>
            <a:t> кг</a:t>
          </a:r>
          <a:r>
            <a:rPr lang="ru-RU" sz="9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>
            <a:lnSpc>
              <a:spcPts val="900"/>
            </a:lnSpc>
          </a:pPr>
          <a:r>
            <a:rPr lang="en-US" sz="900">
              <a:latin typeface="Times New Roman" panose="02020603050405020304" pitchFamily="18" charset="0"/>
              <a:cs typeface="Times New Roman" panose="02020603050405020304" pitchFamily="18" charset="0"/>
            </a:rPr>
            <a:t>b</a:t>
          </a:r>
          <a:r>
            <a:rPr lang="en-US" sz="900" baseline="0">
              <a:latin typeface="Times New Roman" panose="02020603050405020304" pitchFamily="18" charset="0"/>
              <a:cs typeface="Times New Roman" panose="02020603050405020304" pitchFamily="18" charset="0"/>
            </a:rPr>
            <a:t> = </a:t>
          </a:r>
          <a:r>
            <a:rPr lang="ru-RU" sz="900" baseline="0">
              <a:latin typeface="Times New Roman" panose="02020603050405020304" pitchFamily="18" charset="0"/>
              <a:cs typeface="Times New Roman" panose="02020603050405020304" pitchFamily="18" charset="0"/>
            </a:rPr>
            <a:t>12,7275 кг*см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²</a:t>
          </a:r>
          <a:endParaRPr lang="ru-RU" sz="9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lnSpc>
              <a:spcPts val="900"/>
            </a:lnSpc>
          </a:pP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274E-8B42-4F99-8D1B-DA0EF86ECD36}">
  <dimension ref="A1:M67"/>
  <sheetViews>
    <sheetView topLeftCell="A46" zoomScale="130" zoomScaleNormal="130" workbookViewId="0">
      <selection activeCell="J63" sqref="J63"/>
    </sheetView>
  </sheetViews>
  <sheetFormatPr defaultRowHeight="14.4" x14ac:dyDescent="0.3"/>
  <cols>
    <col min="1" max="1" width="9.44140625" style="1" bestFit="1" customWidth="1"/>
    <col min="3" max="3" width="8.5546875" customWidth="1"/>
    <col min="5" max="5" width="12.88671875" bestFit="1" customWidth="1"/>
    <col min="6" max="6" width="17.5546875" customWidth="1"/>
    <col min="7" max="7" width="7.5546875" customWidth="1"/>
    <col min="8" max="8" width="11.6640625" customWidth="1"/>
    <col min="9" max="9" width="12.5546875" customWidth="1"/>
    <col min="12" max="13" width="10.21875" bestFit="1" customWidth="1"/>
  </cols>
  <sheetData>
    <row r="1" spans="1:7" x14ac:dyDescent="0.3">
      <c r="A1" s="11" t="s">
        <v>10</v>
      </c>
      <c r="B1" s="11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t="s">
        <v>1</v>
      </c>
    </row>
    <row r="2" spans="1:7" x14ac:dyDescent="0.3">
      <c r="A2" s="6"/>
      <c r="B2" s="7"/>
      <c r="C2" s="6" t="s">
        <v>0</v>
      </c>
      <c r="D2" s="7"/>
      <c r="E2" s="7"/>
      <c r="F2" s="7"/>
      <c r="G2" s="2">
        <f>5.9*10^-4</f>
        <v>5.9000000000000003E-4</v>
      </c>
    </row>
    <row r="3" spans="1:7" x14ac:dyDescent="0.3">
      <c r="A3" s="4">
        <f>576.02/1000</f>
        <v>0.57601999999999998</v>
      </c>
      <c r="B3" s="1">
        <v>88.04</v>
      </c>
      <c r="C3" s="1">
        <f>B3/20</f>
        <v>4.4020000000000001</v>
      </c>
      <c r="D3" s="2">
        <f>(C3^2)*A3*G$2</f>
        <v>6.5855135990872003E-3</v>
      </c>
      <c r="E3" s="2">
        <f>AVERAGE(D3:D5)</f>
        <v>6.5685752154493E-3</v>
      </c>
      <c r="F3" s="3">
        <f>SQRT((1/2)*SUMSQ(E3-D3,E3-D4,E3-D5))</f>
        <v>1.4969952742002848E-5</v>
      </c>
    </row>
    <row r="4" spans="1:7" x14ac:dyDescent="0.3">
      <c r="A4" s="1">
        <f t="shared" ref="A4:A5" si="0">576.02/1000</f>
        <v>0.57601999999999998</v>
      </c>
      <c r="B4" s="1">
        <v>87.89</v>
      </c>
      <c r="C4" s="1">
        <f t="shared" ref="C4:C9" si="1">B4/20</f>
        <v>4.3944999999999999</v>
      </c>
      <c r="D4" s="2">
        <f t="shared" ref="D4:D9" si="2">(C4^2)*A4*G$2</f>
        <v>6.5630923013969503E-3</v>
      </c>
    </row>
    <row r="5" spans="1:7" x14ac:dyDescent="0.3">
      <c r="A5" s="1">
        <f t="shared" si="0"/>
        <v>0.57601999999999998</v>
      </c>
      <c r="B5" s="1">
        <v>87.85</v>
      </c>
      <c r="C5" s="1">
        <f t="shared" si="1"/>
        <v>4.3925000000000001</v>
      </c>
      <c r="D5" s="2">
        <f t="shared" si="2"/>
        <v>6.5571197458637502E-3</v>
      </c>
    </row>
    <row r="6" spans="1:7" x14ac:dyDescent="0.3">
      <c r="A6" s="6"/>
      <c r="B6" s="6"/>
      <c r="C6" s="6" t="s">
        <v>2</v>
      </c>
      <c r="D6" s="8"/>
      <c r="E6" s="7"/>
      <c r="F6" s="7"/>
    </row>
    <row r="7" spans="1:7" x14ac:dyDescent="0.3">
      <c r="A7" s="1">
        <f>(832/1000)+A$5</f>
        <v>1.40802</v>
      </c>
      <c r="B7" s="1">
        <v>57.05</v>
      </c>
      <c r="C7" s="1">
        <f t="shared" si="1"/>
        <v>2.8525</v>
      </c>
      <c r="D7" s="2">
        <f>(C7^2)*A7*G$2</f>
        <v>6.7594621657237498E-3</v>
      </c>
      <c r="E7" s="2">
        <f>AVERAGE(D7:D9)</f>
        <v>6.7239881871724999E-3</v>
      </c>
      <c r="F7" s="3">
        <f>SQRT((1/2)*SUMSQ(E7-D7,E7-D8,E7-D9))</f>
        <v>3.1282930005946788E-5</v>
      </c>
    </row>
    <row r="8" spans="1:7" x14ac:dyDescent="0.3">
      <c r="A8" s="1">
        <f t="shared" ref="A8:A9" si="3">(832/1000)+A$5</f>
        <v>1.40802</v>
      </c>
      <c r="B8" s="1">
        <v>56.85</v>
      </c>
      <c r="C8" s="1">
        <f t="shared" si="1"/>
        <v>2.8425000000000002</v>
      </c>
      <c r="D8" s="2">
        <f t="shared" si="2"/>
        <v>6.7121519897137506E-3</v>
      </c>
    </row>
    <row r="9" spans="1:7" x14ac:dyDescent="0.3">
      <c r="A9" s="1">
        <f t="shared" si="3"/>
        <v>1.40802</v>
      </c>
      <c r="B9" s="1">
        <v>56.8</v>
      </c>
      <c r="C9" s="1">
        <f t="shared" si="1"/>
        <v>2.84</v>
      </c>
      <c r="D9" s="2">
        <f t="shared" si="2"/>
        <v>6.7003504060800011E-3</v>
      </c>
    </row>
    <row r="10" spans="1:7" x14ac:dyDescent="0.3">
      <c r="C10" s="9" t="s">
        <v>3</v>
      </c>
      <c r="E10" s="10">
        <f>E7-E3</f>
        <v>1.5541297172319991E-4</v>
      </c>
      <c r="F10" s="3">
        <f>F7-F3</f>
        <v>1.6312977263943938E-5</v>
      </c>
    </row>
    <row r="11" spans="1:7" x14ac:dyDescent="0.3">
      <c r="A11" s="6"/>
      <c r="B11" s="6"/>
      <c r="C11" s="6" t="s">
        <v>4</v>
      </c>
      <c r="D11" s="8"/>
      <c r="E11" s="7"/>
      <c r="F11" s="7"/>
    </row>
    <row r="12" spans="1:7" x14ac:dyDescent="0.3">
      <c r="A12" s="1">
        <f>1518/1000+A$5</f>
        <v>2.09402</v>
      </c>
      <c r="B12" s="1">
        <v>60.92</v>
      </c>
      <c r="C12" s="1">
        <f>B12/20</f>
        <v>3.0460000000000003</v>
      </c>
      <c r="D12" s="2">
        <f>(C12^2)*A12*G$2</f>
        <v>1.1462850675128804E-2</v>
      </c>
      <c r="E12" s="2">
        <f>AVERAGE(D12:D14)</f>
        <v>1.1432775173277468E-2</v>
      </c>
      <c r="F12" s="3">
        <f>SQRT((1/2)*SUMSQ(E12-D12,E12-D13,E12-D14))</f>
        <v>2.7107693059760508E-5</v>
      </c>
    </row>
    <row r="13" spans="1:7" x14ac:dyDescent="0.3">
      <c r="A13" s="1">
        <f t="shared" ref="A13:A14" si="4">1518/1000+A$5</f>
        <v>2.09402</v>
      </c>
      <c r="B13" s="1">
        <v>60.82</v>
      </c>
      <c r="C13" s="1">
        <f>B13/20</f>
        <v>3.0409999999999999</v>
      </c>
      <c r="D13" s="2">
        <f>(C13^2)*A13*G$2</f>
        <v>1.14252490908958E-2</v>
      </c>
    </row>
    <row r="14" spans="1:7" x14ac:dyDescent="0.3">
      <c r="A14" s="1">
        <f t="shared" si="4"/>
        <v>2.09402</v>
      </c>
      <c r="B14" s="1">
        <v>60.78</v>
      </c>
      <c r="C14" s="1">
        <f>B14/20</f>
        <v>3.0390000000000001</v>
      </c>
      <c r="D14" s="2">
        <f>(C14^2)*A14*G$2</f>
        <v>1.14102257538078E-2</v>
      </c>
    </row>
    <row r="15" spans="1:7" x14ac:dyDescent="0.3">
      <c r="C15" s="9" t="s">
        <v>5</v>
      </c>
      <c r="E15" s="10">
        <f>E12-E3</f>
        <v>4.8641999578281679E-3</v>
      </c>
    </row>
    <row r="16" spans="1:7" x14ac:dyDescent="0.3">
      <c r="A16" s="6"/>
      <c r="B16" s="7"/>
      <c r="C16" s="7" t="s">
        <v>6</v>
      </c>
      <c r="D16" s="7"/>
      <c r="E16" s="7"/>
      <c r="F16" s="7"/>
    </row>
    <row r="17" spans="1:6" x14ac:dyDescent="0.3">
      <c r="A17" s="1">
        <f>1151/1000+A$5</f>
        <v>1.72702</v>
      </c>
      <c r="B17" s="1">
        <v>72.06</v>
      </c>
      <c r="C17" s="1">
        <f>B17/20</f>
        <v>3.6030000000000002</v>
      </c>
      <c r="D17" s="2">
        <f>(C17^2)*A17*G$2</f>
        <v>1.3227504041356202E-2</v>
      </c>
      <c r="E17" s="2">
        <f>AVERAGE(D17:D19)</f>
        <v>1.3206712958486286E-2</v>
      </c>
      <c r="F17" s="3">
        <f>SQRT((1/2)*SUMSQ(E17-D17,E17-D18,E17-D19))</f>
        <v>1.8827001156955572E-5</v>
      </c>
    </row>
    <row r="18" spans="1:6" x14ac:dyDescent="0.3">
      <c r="A18" s="1">
        <f t="shared" ref="A18:A19" si="5">1151/1000+A$5</f>
        <v>1.72702</v>
      </c>
      <c r="B18" s="1">
        <v>71.989999999999995</v>
      </c>
      <c r="C18" s="1">
        <f>B18/20</f>
        <v>3.5994999999999999</v>
      </c>
      <c r="D18" s="2">
        <f>(C18^2)*A18*G$2</f>
        <v>1.3201817792255452E-2</v>
      </c>
    </row>
    <row r="19" spans="1:6" x14ac:dyDescent="0.3">
      <c r="A19" s="1">
        <f t="shared" si="5"/>
        <v>1.72702</v>
      </c>
      <c r="B19" s="1">
        <v>71.959999999999994</v>
      </c>
      <c r="C19" s="1">
        <f>B19/20</f>
        <v>3.5979999999999999</v>
      </c>
      <c r="D19" s="2">
        <f>(C19^2)*A19*G$2</f>
        <v>1.31908170418472E-2</v>
      </c>
    </row>
    <row r="20" spans="1:6" x14ac:dyDescent="0.3">
      <c r="C20" s="9" t="s">
        <v>7</v>
      </c>
      <c r="E20" s="10">
        <f>E17-E$3</f>
        <v>6.6381377430369858E-3</v>
      </c>
    </row>
    <row r="21" spans="1:6" x14ac:dyDescent="0.3">
      <c r="A21" s="6"/>
      <c r="B21" s="7"/>
      <c r="C21" s="7" t="s">
        <v>8</v>
      </c>
      <c r="D21" s="7"/>
      <c r="E21" s="8"/>
      <c r="F21" s="7"/>
    </row>
    <row r="22" spans="1:6" x14ac:dyDescent="0.3">
      <c r="A22" s="1">
        <f>2669/1000+A$5</f>
        <v>3.2450200000000002</v>
      </c>
      <c r="B22" s="1">
        <v>61.5</v>
      </c>
      <c r="C22" s="1">
        <f>B22/20</f>
        <v>3.0750000000000002</v>
      </c>
      <c r="D22" s="2">
        <f>(C22^2)*A22*G$2</f>
        <v>1.8103378420125004E-2</v>
      </c>
      <c r="E22" s="2">
        <f>AVERAGE(D22:D24)</f>
        <v>1.8085723767126752E-2</v>
      </c>
      <c r="F22" s="3">
        <f>SQRT((1/2)*SUMSQ(E22-D22,E22-D23,E22-D24))</f>
        <v>1.7653217252098834E-5</v>
      </c>
    </row>
    <row r="23" spans="1:6" x14ac:dyDescent="0.3">
      <c r="A23" s="1">
        <f t="shared" ref="A23:A24" si="6">2669/1000+A$5</f>
        <v>3.2450200000000002</v>
      </c>
      <c r="B23" s="1">
        <v>61.47</v>
      </c>
      <c r="C23" s="1">
        <f>B23/20</f>
        <v>3.0735000000000001</v>
      </c>
      <c r="D23" s="2">
        <f>(C23^2)*A23*G$2</f>
        <v>1.8085720895284051E-2</v>
      </c>
    </row>
    <row r="24" spans="1:6" x14ac:dyDescent="0.3">
      <c r="A24" s="1">
        <f t="shared" si="6"/>
        <v>3.2450200000000002</v>
      </c>
      <c r="B24" s="1">
        <v>61.44</v>
      </c>
      <c r="C24" s="1">
        <f>B24/20</f>
        <v>3.0720000000000001</v>
      </c>
      <c r="D24" s="2">
        <f>(C24^2)*A24*G$2</f>
        <v>1.8068071985971202E-2</v>
      </c>
    </row>
    <row r="25" spans="1:6" x14ac:dyDescent="0.3">
      <c r="C25" s="9" t="s">
        <v>9</v>
      </c>
      <c r="D25" s="9"/>
      <c r="E25" s="10">
        <f>E22-E$3</f>
        <v>1.1517148551677452E-2</v>
      </c>
    </row>
    <row r="26" spans="1:6" x14ac:dyDescent="0.3">
      <c r="E26" s="5"/>
    </row>
    <row r="27" spans="1:6" x14ac:dyDescent="0.3">
      <c r="A27" s="6"/>
      <c r="B27" s="7"/>
      <c r="C27" s="7" t="s">
        <v>18</v>
      </c>
      <c r="D27" s="7"/>
      <c r="E27" s="7"/>
      <c r="F27" s="7"/>
    </row>
    <row r="28" spans="1:6" x14ac:dyDescent="0.3">
      <c r="D28" s="7" t="s">
        <v>17</v>
      </c>
    </row>
    <row r="29" spans="1:6" x14ac:dyDescent="0.3">
      <c r="A29" s="1">
        <f>1450/1000+A$5</f>
        <v>2.0260199999999999</v>
      </c>
      <c r="B29">
        <v>51.18</v>
      </c>
      <c r="C29" s="1">
        <f>B29/20</f>
        <v>2.5590000000000002</v>
      </c>
      <c r="D29" s="2">
        <f>(C29^2)*A29*G$2</f>
        <v>7.8277385506158002E-3</v>
      </c>
      <c r="E29" s="2">
        <f>AVERAGE(D29:D31)</f>
        <v>7.8236610064007003E-3</v>
      </c>
      <c r="F29" s="3">
        <f>SQRT((1/2)*SUMSQ(E29-D29,E29-D30,E29-D31))</f>
        <v>4.6711203130546103E-6</v>
      </c>
    </row>
    <row r="30" spans="1:6" x14ac:dyDescent="0.3">
      <c r="A30" s="1">
        <f t="shared" ref="A30:A31" si="7">1450/1000+A$5</f>
        <v>2.0260199999999999</v>
      </c>
      <c r="B30">
        <v>51.15</v>
      </c>
      <c r="C30" s="1">
        <f>B30/20</f>
        <v>2.5575000000000001</v>
      </c>
      <c r="D30" s="2">
        <f>(C30^2)*A30*G$2</f>
        <v>7.8185645243887512E-3</v>
      </c>
    </row>
    <row r="31" spans="1:6" x14ac:dyDescent="0.3">
      <c r="A31" s="1">
        <f t="shared" si="7"/>
        <v>2.0260199999999999</v>
      </c>
      <c r="B31">
        <v>51.17</v>
      </c>
      <c r="C31" s="1">
        <f>B31/20</f>
        <v>2.5585</v>
      </c>
      <c r="D31" s="2">
        <f>(C31^2)*A31*G$2</f>
        <v>7.8246799441975493E-3</v>
      </c>
    </row>
    <row r="32" spans="1:6" x14ac:dyDescent="0.3">
      <c r="C32" t="s">
        <v>19</v>
      </c>
      <c r="E32" s="10">
        <f>E29-E$3</f>
        <v>1.2550857909514003E-3</v>
      </c>
    </row>
    <row r="33" spans="1:13" x14ac:dyDescent="0.3">
      <c r="D33" s="7" t="s">
        <v>16</v>
      </c>
    </row>
    <row r="34" spans="1:13" x14ac:dyDescent="0.3">
      <c r="A34" s="1">
        <f>1450/1000+A$5</f>
        <v>2.0260199999999999</v>
      </c>
      <c r="B34">
        <v>51.69</v>
      </c>
      <c r="C34" s="1">
        <f>B34/20</f>
        <v>2.5844999999999998</v>
      </c>
      <c r="D34" s="2">
        <f>(C34^2)*A34*G$2</f>
        <v>7.9845199961899489E-3</v>
      </c>
      <c r="E34" s="2">
        <f>AVERAGE(D34:D36)</f>
        <v>7.9865829741714491E-3</v>
      </c>
      <c r="F34" s="3">
        <f>SQRT((1/2)*SUMSQ(E34-D34,E34-D35,E34-D36))</f>
        <v>1.2488393266816752E-5</v>
      </c>
    </row>
    <row r="35" spans="1:13" x14ac:dyDescent="0.3">
      <c r="A35" s="1">
        <f t="shared" ref="A35:A36" si="8">1450/1000+A$5</f>
        <v>2.0260199999999999</v>
      </c>
      <c r="B35">
        <v>51.74</v>
      </c>
      <c r="C35" s="1">
        <f>B35/20</f>
        <v>2.5870000000000002</v>
      </c>
      <c r="D35" s="2">
        <f>(C35^2)*A35*G$2</f>
        <v>7.9999744007742003E-3</v>
      </c>
    </row>
    <row r="36" spans="1:13" x14ac:dyDescent="0.3">
      <c r="A36" s="1">
        <f t="shared" si="8"/>
        <v>2.0260199999999999</v>
      </c>
      <c r="B36">
        <v>51.66</v>
      </c>
      <c r="C36" s="1">
        <f>B36/20</f>
        <v>2.5829999999999997</v>
      </c>
      <c r="D36" s="2">
        <f>(C36^2)*A36*G$2</f>
        <v>7.9752545255501982E-3</v>
      </c>
    </row>
    <row r="37" spans="1:13" x14ac:dyDescent="0.3">
      <c r="C37" t="s">
        <v>19</v>
      </c>
      <c r="E37" s="10">
        <f>E34-E$3</f>
        <v>1.4180077587221491E-3</v>
      </c>
    </row>
    <row r="38" spans="1:13" x14ac:dyDescent="0.3">
      <c r="D38" s="7" t="s">
        <v>20</v>
      </c>
    </row>
    <row r="39" spans="1:13" x14ac:dyDescent="0.3">
      <c r="A39" s="1">
        <f>1450/1000+A$5</f>
        <v>2.0260199999999999</v>
      </c>
      <c r="B39">
        <v>53.25</v>
      </c>
      <c r="C39" s="1">
        <f>B39/20</f>
        <v>2.6625000000000001</v>
      </c>
      <c r="D39" s="2">
        <f>(C39^2)*A39*G$2</f>
        <v>8.4737368459687507E-3</v>
      </c>
      <c r="E39" s="2">
        <f>AVERAGE(D39:D41)</f>
        <v>8.4536042328899001E-3</v>
      </c>
      <c r="F39" s="3">
        <f>SQRT((1/2)*SUMSQ(E39-D39,E39-D40,E39-D41))</f>
        <v>2.468409310639547E-5</v>
      </c>
    </row>
    <row r="40" spans="1:13" x14ac:dyDescent="0.3">
      <c r="A40" s="1">
        <f t="shared" ref="A40:A41" si="9">1450/1000+A$5</f>
        <v>2.0260199999999999</v>
      </c>
      <c r="B40">
        <v>53.21</v>
      </c>
      <c r="C40" s="1">
        <f>B40/20</f>
        <v>2.6604999999999999</v>
      </c>
      <c r="D40" s="2">
        <f>(C40^2)*A40*G$2</f>
        <v>8.4610111307059505E-3</v>
      </c>
    </row>
    <row r="41" spans="1:13" x14ac:dyDescent="0.3">
      <c r="A41" s="1">
        <f t="shared" si="9"/>
        <v>2.0260199999999999</v>
      </c>
      <c r="B41">
        <v>53.1</v>
      </c>
      <c r="C41" s="1">
        <f>B41/20</f>
        <v>2.6550000000000002</v>
      </c>
      <c r="D41" s="2">
        <f>(C41^2)*A41*G$2</f>
        <v>8.4260647219950007E-3</v>
      </c>
    </row>
    <row r="42" spans="1:13" x14ac:dyDescent="0.3">
      <c r="C42" t="s">
        <v>19</v>
      </c>
      <c r="E42" s="10">
        <f>E39-E$3</f>
        <v>1.8850290174406001E-3</v>
      </c>
    </row>
    <row r="43" spans="1:13" x14ac:dyDescent="0.3">
      <c r="D43" s="7" t="s">
        <v>21</v>
      </c>
    </row>
    <row r="44" spans="1:13" x14ac:dyDescent="0.3">
      <c r="A44" s="1">
        <f>1450/1000+A$5</f>
        <v>2.0260199999999999</v>
      </c>
      <c r="B44">
        <v>55.48</v>
      </c>
      <c r="C44" s="1">
        <f>B44/20</f>
        <v>2.774</v>
      </c>
      <c r="D44" s="2">
        <f>(C44^2)*A44*G$2</f>
        <v>9.1983229477368006E-3</v>
      </c>
      <c r="E44" s="2">
        <f>AVERAGE(D44:D46)</f>
        <v>9.1828586815002004E-3</v>
      </c>
      <c r="F44" s="3">
        <f>SQRT((1/2)*SUMSQ(E44-D44,E44-D45,E44-D46))</f>
        <v>1.3795838189648232E-5</v>
      </c>
    </row>
    <row r="45" spans="1:13" x14ac:dyDescent="0.3">
      <c r="A45" s="1">
        <f t="shared" ref="A45:A46" si="10">1450/1000+A$5</f>
        <v>2.0260199999999999</v>
      </c>
      <c r="B45">
        <v>55.42</v>
      </c>
      <c r="C45" s="1">
        <f>B45/20</f>
        <v>2.7709999999999999</v>
      </c>
      <c r="D45" s="2">
        <f>(C45^2)*A45*G$2</f>
        <v>9.1784382705437997E-3</v>
      </c>
    </row>
    <row r="46" spans="1:13" x14ac:dyDescent="0.3">
      <c r="A46" s="1">
        <f t="shared" si="10"/>
        <v>2.0260199999999999</v>
      </c>
      <c r="B46">
        <v>55.4</v>
      </c>
      <c r="C46" s="1">
        <f>B46/20</f>
        <v>2.77</v>
      </c>
      <c r="D46" s="2">
        <f>(C46^2)*A46*G$2</f>
        <v>9.1718148262200008E-3</v>
      </c>
    </row>
    <row r="47" spans="1:13" x14ac:dyDescent="0.3">
      <c r="C47" t="s">
        <v>19</v>
      </c>
      <c r="E47" s="10">
        <f>E44-E$3</f>
        <v>2.6142834660509004E-3</v>
      </c>
    </row>
    <row r="48" spans="1:13" x14ac:dyDescent="0.3">
      <c r="D48" s="7" t="s">
        <v>22</v>
      </c>
      <c r="M48" s="2"/>
    </row>
    <row r="49" spans="1:13" x14ac:dyDescent="0.3">
      <c r="A49" s="1">
        <f>1450/1000+A$5</f>
        <v>2.0260199999999999</v>
      </c>
      <c r="B49">
        <v>58.61</v>
      </c>
      <c r="C49" s="1">
        <f>B49/20</f>
        <v>2.9304999999999999</v>
      </c>
      <c r="D49" s="2">
        <f>(C49^2)*A49*G$2</f>
        <v>1.0265478347431949E-2</v>
      </c>
      <c r="E49" s="2">
        <f>AVERAGE(D49:D51)</f>
        <v>1.0243312042490701E-2</v>
      </c>
      <c r="F49" s="3">
        <f>SQRT((1/2)*SUMSQ(E49-D49,E49-D50,E49-D51))</f>
        <v>2.1093914993266538E-5</v>
      </c>
    </row>
    <row r="50" spans="1:13" x14ac:dyDescent="0.3">
      <c r="A50" s="1">
        <f t="shared" ref="A50:A51" si="11">1450/1000+A$5</f>
        <v>2.0260199999999999</v>
      </c>
      <c r="B50">
        <v>58.54</v>
      </c>
      <c r="C50" s="1">
        <f>B50/20</f>
        <v>2.927</v>
      </c>
      <c r="D50" s="2">
        <f>(C50^2)*A50*G$2</f>
        <v>1.0240972141342203E-2</v>
      </c>
      <c r="M50" s="2"/>
    </row>
    <row r="51" spans="1:13" x14ac:dyDescent="0.3">
      <c r="A51" s="1">
        <f t="shared" si="11"/>
        <v>2.0260199999999999</v>
      </c>
      <c r="B51">
        <v>58.49</v>
      </c>
      <c r="C51" s="1">
        <f>B51/20</f>
        <v>2.9245000000000001</v>
      </c>
      <c r="D51" s="2">
        <f>(C51^2)*A51*G$2</f>
        <v>1.0223485638697951E-2</v>
      </c>
    </row>
    <row r="52" spans="1:13" x14ac:dyDescent="0.3">
      <c r="C52" t="s">
        <v>19</v>
      </c>
      <c r="E52" s="10">
        <f>E49-E$3</f>
        <v>3.6747368270414011E-3</v>
      </c>
      <c r="M52" s="2"/>
    </row>
    <row r="53" spans="1:13" x14ac:dyDescent="0.3">
      <c r="D53" s="7" t="s">
        <v>23</v>
      </c>
      <c r="J53" t="s">
        <v>30</v>
      </c>
      <c r="K53" t="s">
        <v>29</v>
      </c>
      <c r="L53" t="s">
        <v>31</v>
      </c>
    </row>
    <row r="54" spans="1:13" x14ac:dyDescent="0.3">
      <c r="A54" s="1">
        <f>1450/1000+A$5</f>
        <v>2.0260199999999999</v>
      </c>
      <c r="B54">
        <v>62.05</v>
      </c>
      <c r="C54" s="1">
        <f>B54/20</f>
        <v>3.1025</v>
      </c>
      <c r="D54" s="2">
        <f>(C54^2)*A54*G$2</f>
        <v>1.1505866221848751E-2</v>
      </c>
      <c r="E54" s="2">
        <f>AVERAGE(D54:D56)</f>
        <v>1.1493510069517451E-2</v>
      </c>
      <c r="F54" s="3">
        <f>SQRT((1/2)*SUMSQ(E54-D54,E54-D55,E54-D56))</f>
        <v>1.3016584863630019E-5</v>
      </c>
      <c r="I54" s="2">
        <f t="shared" ref="I54:I61" si="12">J54^2</f>
        <v>0</v>
      </c>
      <c r="J54" s="10">
        <v>0</v>
      </c>
      <c r="K54">
        <v>12.5</v>
      </c>
      <c r="L54">
        <f t="shared" ref="L54:L61" si="13">J54*K54</f>
        <v>0</v>
      </c>
    </row>
    <row r="55" spans="1:13" x14ac:dyDescent="0.3">
      <c r="A55" s="1">
        <f t="shared" ref="A55:A56" si="14">1450/1000+A$5</f>
        <v>2.0260199999999999</v>
      </c>
      <c r="B55">
        <v>62.02</v>
      </c>
      <c r="C55" s="1">
        <f>B55/20</f>
        <v>3.101</v>
      </c>
      <c r="D55" s="2">
        <f>(C55^2)*A55*G$2</f>
        <v>1.1494743174511801E-2</v>
      </c>
      <c r="I55" s="2">
        <f t="shared" si="12"/>
        <v>1</v>
      </c>
      <c r="J55" s="10">
        <v>1</v>
      </c>
      <c r="K55">
        <v>14.2</v>
      </c>
      <c r="L55">
        <f t="shared" si="13"/>
        <v>14.2</v>
      </c>
    </row>
    <row r="56" spans="1:13" x14ac:dyDescent="0.3">
      <c r="A56" s="1">
        <f t="shared" si="14"/>
        <v>2.0260199999999999</v>
      </c>
      <c r="B56">
        <v>61.98</v>
      </c>
      <c r="C56" s="1">
        <f>B56/20</f>
        <v>3.0989999999999998</v>
      </c>
      <c r="D56" s="2">
        <f>(C56^2)*A56*G$2</f>
        <v>1.1479920812191799E-2</v>
      </c>
      <c r="I56" s="2">
        <f t="shared" si="12"/>
        <v>16</v>
      </c>
      <c r="J56" s="10">
        <v>4</v>
      </c>
      <c r="K56">
        <v>18.899999999999999</v>
      </c>
      <c r="L56">
        <f t="shared" si="13"/>
        <v>75.599999999999994</v>
      </c>
    </row>
    <row r="57" spans="1:13" x14ac:dyDescent="0.3">
      <c r="C57" t="s">
        <v>19</v>
      </c>
      <c r="E57" s="10">
        <f>E54-E$3</f>
        <v>4.924934854068151E-3</v>
      </c>
      <c r="I57" s="2">
        <f t="shared" si="12"/>
        <v>81</v>
      </c>
      <c r="J57" s="10">
        <v>9</v>
      </c>
      <c r="K57">
        <v>26.1</v>
      </c>
      <c r="L57">
        <f t="shared" si="13"/>
        <v>234.9</v>
      </c>
    </row>
    <row r="58" spans="1:13" x14ac:dyDescent="0.3">
      <c r="D58" s="7" t="s">
        <v>24</v>
      </c>
      <c r="I58" s="2">
        <f t="shared" si="12"/>
        <v>256</v>
      </c>
      <c r="J58" s="10">
        <v>16</v>
      </c>
      <c r="K58">
        <v>36.700000000000003</v>
      </c>
      <c r="L58">
        <f t="shared" si="13"/>
        <v>587.20000000000005</v>
      </c>
    </row>
    <row r="59" spans="1:13" x14ac:dyDescent="0.3">
      <c r="A59" s="1">
        <f>1450/1000+A$5</f>
        <v>2.0260199999999999</v>
      </c>
      <c r="B59">
        <v>66.31</v>
      </c>
      <c r="C59" s="1">
        <f>B59/20</f>
        <v>3.3155000000000001</v>
      </c>
      <c r="D59" s="2">
        <f>(C59^2)*A59*G$2</f>
        <v>1.3139952774409951E-2</v>
      </c>
      <c r="E59" s="2">
        <f>AVERAGE(D59:D61)</f>
        <v>1.3125427556624899E-2</v>
      </c>
      <c r="F59" s="3">
        <f>SQRT((1/2)*SUMSQ(E59-D59,E59-D60,E59-D61))</f>
        <v>1.391108592654187E-5</v>
      </c>
      <c r="H59">
        <f>SUM(L54:L61)</f>
        <v>8688.1</v>
      </c>
      <c r="I59" s="2">
        <f t="shared" si="12"/>
        <v>625</v>
      </c>
      <c r="J59" s="10">
        <v>25</v>
      </c>
      <c r="K59">
        <v>49.2</v>
      </c>
      <c r="L59">
        <f t="shared" si="13"/>
        <v>1230</v>
      </c>
    </row>
    <row r="60" spans="1:13" x14ac:dyDescent="0.3">
      <c r="A60" s="1">
        <f t="shared" ref="A60:A61" si="15">1450/1000+A$5</f>
        <v>2.0260199999999999</v>
      </c>
      <c r="B60">
        <v>66.27</v>
      </c>
      <c r="C60" s="1">
        <f>B60/20</f>
        <v>3.3134999999999999</v>
      </c>
      <c r="D60" s="2">
        <f>(C60^2)*A60*G$2</f>
        <v>1.3124104800245548E-2</v>
      </c>
      <c r="H60" s="2">
        <f>AVERAGE(J54:J61)</f>
        <v>17.5</v>
      </c>
      <c r="I60" s="2">
        <f t="shared" si="12"/>
        <v>1296</v>
      </c>
      <c r="J60" s="10">
        <v>36</v>
      </c>
      <c r="K60">
        <v>65.599999999999994</v>
      </c>
      <c r="L60">
        <f t="shared" si="13"/>
        <v>2361.6</v>
      </c>
    </row>
    <row r="61" spans="1:13" x14ac:dyDescent="0.3">
      <c r="A61" s="1">
        <f t="shared" si="15"/>
        <v>2.0260199999999999</v>
      </c>
      <c r="B61">
        <v>66.239999999999995</v>
      </c>
      <c r="C61" s="1">
        <f>B61/20</f>
        <v>3.3119999999999998</v>
      </c>
      <c r="D61" s="2">
        <f>(C61^2)*A61*G$2</f>
        <v>1.3112225095219201E-2</v>
      </c>
      <c r="H61">
        <f>SUM(K54:K61)</f>
        <v>308.60000000000002</v>
      </c>
      <c r="I61" s="2">
        <f t="shared" si="12"/>
        <v>2401</v>
      </c>
      <c r="J61" s="10">
        <v>49</v>
      </c>
      <c r="K61">
        <v>85.4</v>
      </c>
      <c r="L61">
        <f t="shared" si="13"/>
        <v>4184.6000000000004</v>
      </c>
    </row>
    <row r="62" spans="1:13" x14ac:dyDescent="0.3">
      <c r="C62" t="s">
        <v>19</v>
      </c>
      <c r="E62" s="10">
        <f>E59-E$3</f>
        <v>6.5568523411755992E-3</v>
      </c>
      <c r="H62" s="2">
        <f>SUM(I54:I61)</f>
        <v>4676</v>
      </c>
    </row>
    <row r="63" spans="1:13" x14ac:dyDescent="0.3">
      <c r="D63" s="7" t="s">
        <v>25</v>
      </c>
      <c r="H63" s="2">
        <f>(1/8)*(SUM(J54:J61))^2</f>
        <v>2450</v>
      </c>
      <c r="J63">
        <f>H61/8</f>
        <v>38.575000000000003</v>
      </c>
      <c r="L63" s="2"/>
    </row>
    <row r="64" spans="1:13" x14ac:dyDescent="0.3">
      <c r="A64" s="1">
        <f>1450/1000+A$5</f>
        <v>2.0260199999999999</v>
      </c>
      <c r="B64">
        <v>71.17</v>
      </c>
      <c r="C64" s="1">
        <f>B64/20</f>
        <v>3.5585</v>
      </c>
      <c r="D64" s="2">
        <f>(C64^2)*A64*G$2</f>
        <v>1.5136646904797548E-2</v>
      </c>
      <c r="E64" s="2">
        <f>AVERAGE(D64:D66)</f>
        <v>1.5108314078758048E-2</v>
      </c>
      <c r="F64" s="3">
        <f>SQRT((1/2)*SUMSQ(E64-D64,E64-D65,E64-D66))</f>
        <v>3.2451994774139803E-5</v>
      </c>
      <c r="K64" s="2"/>
    </row>
    <row r="65" spans="1:5" x14ac:dyDescent="0.3">
      <c r="A65" s="1">
        <f t="shared" ref="A65:A66" si="16">1450/1000+A$5</f>
        <v>2.0260199999999999</v>
      </c>
      <c r="B65">
        <v>71.12</v>
      </c>
      <c r="C65" s="1">
        <f>B65/20</f>
        <v>3.556</v>
      </c>
      <c r="D65" s="2">
        <f>(C65^2)*A65*G$2</f>
        <v>1.5115386078844802E-2</v>
      </c>
    </row>
    <row r="66" spans="1:5" x14ac:dyDescent="0.3">
      <c r="A66" s="1">
        <f t="shared" si="16"/>
        <v>2.0260199999999999</v>
      </c>
      <c r="B66">
        <v>71.02</v>
      </c>
      <c r="C66" s="1">
        <f>B66/20</f>
        <v>3.5509999999999997</v>
      </c>
      <c r="D66" s="2">
        <f>(C66^2)*A66*G$2</f>
        <v>1.5072909252631798E-2</v>
      </c>
    </row>
    <row r="67" spans="1:5" x14ac:dyDescent="0.3">
      <c r="C67" t="s">
        <v>19</v>
      </c>
      <c r="E67" s="10">
        <f>E64-E$3</f>
        <v>8.539738863308749E-3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A7C8-30E3-43FD-BC7C-ABE2B1D0CE41}">
  <dimension ref="A1:K28"/>
  <sheetViews>
    <sheetView tabSelected="1" topLeftCell="A7" zoomScale="85" zoomScaleNormal="85" workbookViewId="0">
      <selection activeCell="T8" sqref="T8"/>
    </sheetView>
  </sheetViews>
  <sheetFormatPr defaultRowHeight="14.4" x14ac:dyDescent="0.3"/>
  <cols>
    <col min="2" max="2" width="11.44140625" customWidth="1"/>
  </cols>
  <sheetData>
    <row r="1" spans="1:3" x14ac:dyDescent="0.3">
      <c r="A1" t="s">
        <v>27</v>
      </c>
      <c r="B1" t="s">
        <v>26</v>
      </c>
      <c r="C1" t="s">
        <v>28</v>
      </c>
    </row>
    <row r="2" spans="1:3" x14ac:dyDescent="0.3">
      <c r="A2">
        <v>0</v>
      </c>
      <c r="B2" s="13">
        <f>A2^2</f>
        <v>0</v>
      </c>
      <c r="C2">
        <v>12.5</v>
      </c>
    </row>
    <row r="3" spans="1:3" x14ac:dyDescent="0.3">
      <c r="A3">
        <v>1</v>
      </c>
      <c r="B3" s="13">
        <f t="shared" ref="B3:B9" si="0">A3^2</f>
        <v>1</v>
      </c>
      <c r="C3">
        <v>14.2</v>
      </c>
    </row>
    <row r="4" spans="1:3" x14ac:dyDescent="0.3">
      <c r="A4">
        <v>2</v>
      </c>
      <c r="B4" s="13">
        <f t="shared" si="0"/>
        <v>4</v>
      </c>
      <c r="C4">
        <v>18.899999999999999</v>
      </c>
    </row>
    <row r="5" spans="1:3" x14ac:dyDescent="0.3">
      <c r="A5">
        <v>3</v>
      </c>
      <c r="B5" s="13">
        <f t="shared" si="0"/>
        <v>9</v>
      </c>
      <c r="C5">
        <v>26.1</v>
      </c>
    </row>
    <row r="6" spans="1:3" x14ac:dyDescent="0.3">
      <c r="A6">
        <v>4</v>
      </c>
      <c r="B6" s="13">
        <f t="shared" si="0"/>
        <v>16</v>
      </c>
      <c r="C6">
        <v>36.700000000000003</v>
      </c>
    </row>
    <row r="7" spans="1:3" x14ac:dyDescent="0.3">
      <c r="A7">
        <v>5</v>
      </c>
      <c r="B7" s="13">
        <f t="shared" si="0"/>
        <v>25</v>
      </c>
      <c r="C7">
        <v>49.2</v>
      </c>
    </row>
    <row r="8" spans="1:3" x14ac:dyDescent="0.3">
      <c r="A8">
        <v>6</v>
      </c>
      <c r="B8" s="13">
        <f t="shared" si="0"/>
        <v>36</v>
      </c>
      <c r="C8">
        <v>65.599999999999994</v>
      </c>
    </row>
    <row r="9" spans="1:3" x14ac:dyDescent="0.3">
      <c r="A9">
        <v>7</v>
      </c>
      <c r="B9" s="13">
        <f t="shared" si="0"/>
        <v>49</v>
      </c>
      <c r="C9">
        <v>85.4</v>
      </c>
    </row>
    <row r="28" spans="11:11" x14ac:dyDescent="0.3">
      <c r="K28" s="1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Вычисления</vt:lpstr>
      <vt:lpstr>МНК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Арслан Гильманов</dc:creator>
  <cp:lastModifiedBy>Аким Тарасов</cp:lastModifiedBy>
  <dcterms:created xsi:type="dcterms:W3CDTF">2024-11-19T17:47:40Z</dcterms:created>
  <dcterms:modified xsi:type="dcterms:W3CDTF">2024-11-21T19:18:53Z</dcterms:modified>
</cp:coreProperties>
</file>